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8e30b24f2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明细" sheetId="1" r:id="Rd5e8e9e7da08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¥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A5B78"/>
      <x:name val="Carlito"/>
    </x:font>
    <x:font>
      <x:b/>
      <x:sz val="11"/>
      <x:color rgb="FF0015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52D9"/>
      </x:patternFill>
    </x:fill>
    <x:fill>
      <x:patternFill patternType="solid">
        <x:fgColor rgb="FFEAF2FF"/>
      </x:patternFill>
    </x:fill>
    <x:fill>
      <x:patternFill patternType="solid">
        <x:fgColor rgb="FFD9E8FF"/>
      </x:patternFill>
    </x:fill>
  </x:fills>
  <x:borders count="3">
    <x:border/>
    <x:border>
      <x:left style="thin">
        <x:color rgb="FFB7C9E8"/>
      </x:left>
      <x:right style="thin">
        <x:color rgb="FFB7C9E8"/>
      </x:right>
      <x:top style="thin">
        <x:color rgb="FFB7C9E8"/>
      </x:top>
      <x:bottom style="thin">
        <x:color rgb="FFB7C9E8"/>
      </x:bottom>
    </x:border>
    <x:border>
      <x:left style="thin">
        <x:color rgb="FFD8E3F5"/>
      </x:left>
      <x:right style="thin">
        <x:color rgb="FFD8E3F5"/>
      </x:right>
      <x:top style="thin">
        <x:color rgb="FFD8E3F5"/>
      </x:top>
      <x:bottom style="thin">
        <x:color rgb="FFD8E3F5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266bd516a4100" /><Relationship Type="http://schemas.openxmlformats.org/officeDocument/2006/relationships/theme" Target="/xl/theme/theme1.xml" Id="Rd815cfa2e74b46be" /><Relationship Type="http://schemas.openxmlformats.org/officeDocument/2006/relationships/sharedStrings" Target="/xl/sharedStrings.xml" Id="R25e19728cea54f61" /><Relationship Type="http://schemas.openxmlformats.org/officeDocument/2006/relationships/worksheet" Target="/xl/worksheets/sheet1.xml" Id="Rd5e8e9e7da0841ec" /></Relationships>
</file>

<file path=xl/tables/table1.xml><?xml version="1.0" encoding="utf-8"?>
<x:table xmlns:x="http://schemas.openxmlformats.org/spreadsheetml/2006/main" id="1" name="销售明细数据" displayName="销售明细数据" ref="A4:J40" headerRowCount="1" totalsRowCount="0" totalsRowShown="0">
  <x:tableColumns count="10">
    <x:tableColumn id="1" name="日期"/>
    <x:tableColumn id="2" name="门店"/>
    <x:tableColumn id="3" name="品类"/>
    <x:tableColumn id="4" name="商品"/>
    <x:tableColumn id="5" name="订单号"/>
    <x:tableColumn id="6" name="数量"/>
    <x:tableColumn id="7" name="单价（元）"/>
    <x:tableColumn id="8" name="销售额（元）"/>
    <x:tableColumn id="9" name="退款金额（元）"/>
    <x:tableColumn id="10" name="实收金额（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0feca10a864b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0" hidden="0" customWidth="1"/>
    <x:col min="4" max="4" width="17" hidden="0" customWidth="1"/>
    <x:col min="5" max="5" width="17" hidden="0" customWidth="1"/>
    <x:col min="6" max="6" width="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4" t="str">
        <x:v>销售明细表｜Claw 数据分析课程示例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6" t="str">
        <x:v>数据为教学虚构样例，可用于门店、品类、销售额、订单量、客单价与退款率分析。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2" customHeight="1">
      <x:c r="A4" s="12" t="str">
        <x:v>日期</x:v>
      </x:c>
      <x:c r="B4" s="12" t="str">
        <x:v>门店</x:v>
      </x:c>
      <x:c r="C4" s="12" t="str">
        <x:v>品类</x:v>
      </x:c>
      <x:c r="D4" s="12" t="str">
        <x:v>商品</x:v>
      </x:c>
      <x:c r="E4" s="12" t="str">
        <x:v>订单号</x:v>
      </x:c>
      <x:c r="F4" s="12" t="str">
        <x:v>数量</x:v>
      </x:c>
      <x:c r="G4" s="12" t="str">
        <x:v>单价（元）</x:v>
      </x:c>
      <x:c r="H4" s="12" t="str">
        <x:v>销售额（元）</x:v>
      </x:c>
      <x:c r="I4" s="12" t="str">
        <x:v>退款金额（元）</x:v>
      </x:c>
      <x:c r="J4" s="12" t="str">
        <x:v>实收金额（元）</x:v>
      </x:c>
    </x:row>
    <x:row r="5">
      <x:c r="A5" s="15" t="n">
        <x:v>46174</x:v>
      </x:c>
      <x:c r="B5" s="14" t="str">
        <x:v>南山店</x:v>
      </x:c>
      <x:c r="C5" s="14" t="str">
        <x:v>饮品</x:v>
      </x:c>
      <x:c r="D5" s="14" t="str">
        <x:v>冰美式</x:v>
      </x:c>
      <x:c r="E5" s="14" t="str">
        <x:v>SO2026060001</x:v>
      </x:c>
      <x:c r="F5" s="16" t="n">
        <x:v>1</x:v>
      </x:c>
      <x:c r="G5" s="17" t="n">
        <x:v>22</x:v>
      </x:c>
      <x:c r="H5" s="17" t="n">
        <x:f>F5*G5</x:f>
        <x:v>22</x:v>
      </x:c>
      <x:c r="I5" s="17" t="n">
        <x:v>22</x:v>
      </x:c>
      <x:c r="J5" s="17" t="n">
        <x:f>H5-I5</x:f>
        <x:v>0</x:v>
      </x:c>
    </x:row>
    <x:row r="6">
      <x:c r="A6" s="15" t="n">
        <x:v>46175</x:v>
      </x:c>
      <x:c r="B6" s="14" t="str">
        <x:v>福田店</x:v>
      </x:c>
      <x:c r="C6" s="14" t="str">
        <x:v>甜品</x:v>
      </x:c>
      <x:c r="D6" s="14" t="str">
        <x:v>提拉米苏</x:v>
      </x:c>
      <x:c r="E6" s="14" t="str">
        <x:v>SO2026060002</x:v>
      </x:c>
      <x:c r="F6" s="16" t="n">
        <x:v>2</x:v>
      </x:c>
      <x:c r="G6" s="17" t="n">
        <x:v>32</x:v>
      </x:c>
      <x:c r="H6" s="17" t="n">
        <x:f>F6*G6</x:f>
        <x:v>64</x:v>
      </x:c>
      <x:c r="I6" s="17" t="n">
        <x:v>0</x:v>
      </x:c>
      <x:c r="J6" s="17" t="n">
        <x:f>H6-I6</x:f>
        <x:v>64</x:v>
      </x:c>
    </x:row>
    <x:row r="7">
      <x:c r="A7" s="15" t="n">
        <x:v>46176</x:v>
      </x:c>
      <x:c r="B7" s="14" t="str">
        <x:v>宝安店</x:v>
      </x:c>
      <x:c r="C7" s="14" t="str">
        <x:v>轻食</x:v>
      </x:c>
      <x:c r="D7" s="14" t="str">
        <x:v>鸡胸肉沙拉</x:v>
      </x:c>
      <x:c r="E7" s="14" t="str">
        <x:v>SO2026060003</x:v>
      </x:c>
      <x:c r="F7" s="16" t="n">
        <x:v>3</x:v>
      </x:c>
      <x:c r="G7" s="17" t="n">
        <x:v>38</x:v>
      </x:c>
      <x:c r="H7" s="17" t="n">
        <x:f>F7*G7</x:f>
        <x:v>114</x:v>
      </x:c>
      <x:c r="I7" s="17" t="n">
        <x:v>0</x:v>
      </x:c>
      <x:c r="J7" s="17" t="n">
        <x:f>H7-I7</x:f>
        <x:v>114</x:v>
      </x:c>
    </x:row>
    <x:row r="8">
      <x:c r="A8" s="15" t="n">
        <x:v>46177</x:v>
      </x:c>
      <x:c r="B8" s="14" t="str">
        <x:v>龙岗店</x:v>
      </x:c>
      <x:c r="C8" s="14" t="str">
        <x:v>饮品</x:v>
      </x:c>
      <x:c r="D8" s="14" t="str">
        <x:v>生椰拿铁</x:v>
      </x:c>
      <x:c r="E8" s="14" t="str">
        <x:v>SO2026060004</x:v>
      </x:c>
      <x:c r="F8" s="16" t="n">
        <x:v>4</x:v>
      </x:c>
      <x:c r="G8" s="17" t="n">
        <x:v>28</x:v>
      </x:c>
      <x:c r="H8" s="17" t="n">
        <x:f>F8*G8</x:f>
        <x:v>112</x:v>
      </x:c>
      <x:c r="I8" s="17" t="n">
        <x:v>0</x:v>
      </x:c>
      <x:c r="J8" s="17" t="n">
        <x:f>H8-I8</x:f>
        <x:v>112</x:v>
      </x:c>
    </x:row>
    <x:row r="9">
      <x:c r="A9" s="15" t="n">
        <x:v>46178</x:v>
      </x:c>
      <x:c r="B9" s="14" t="str">
        <x:v>南山店</x:v>
      </x:c>
      <x:c r="C9" s="14" t="str">
        <x:v>甜品</x:v>
      </x:c>
      <x:c r="D9" s="14" t="str">
        <x:v>巴斯克蛋糕</x:v>
      </x:c>
      <x:c r="E9" s="14" t="str">
        <x:v>SO2026060005</x:v>
      </x:c>
      <x:c r="F9" s="16" t="n">
        <x:v>1</x:v>
      </x:c>
      <x:c r="G9" s="17" t="n">
        <x:v>30</x:v>
      </x:c>
      <x:c r="H9" s="17" t="n">
        <x:f>F9*G9</x:f>
        <x:v>30</x:v>
      </x:c>
      <x:c r="I9" s="17" t="n">
        <x:v>0</x:v>
      </x:c>
      <x:c r="J9" s="17" t="n">
        <x:f>H9-I9</x:f>
        <x:v>30</x:v>
      </x:c>
    </x:row>
    <x:row r="10">
      <x:c r="A10" s="15" t="n">
        <x:v>46179</x:v>
      </x:c>
      <x:c r="B10" s="14" t="str">
        <x:v>福田店</x:v>
      </x:c>
      <x:c r="C10" s="14" t="str">
        <x:v>轻食</x:v>
      </x:c>
      <x:c r="D10" s="14" t="str">
        <x:v>牛油果贝果</x:v>
      </x:c>
      <x:c r="E10" s="14" t="str">
        <x:v>SO2026060006</x:v>
      </x:c>
      <x:c r="F10" s="16" t="n">
        <x:v>2</x:v>
      </x:c>
      <x:c r="G10" s="17" t="n">
        <x:v>34</x:v>
      </x:c>
      <x:c r="H10" s="17" t="n">
        <x:f>F10*G10</x:f>
        <x:v>68</x:v>
      </x:c>
      <x:c r="I10" s="17" t="n">
        <x:v>0</x:v>
      </x:c>
      <x:c r="J10" s="17" t="n">
        <x:f>H10-I10</x:f>
        <x:v>68</x:v>
      </x:c>
    </x:row>
    <x:row r="11">
      <x:c r="A11" s="15" t="n">
        <x:v>46180</x:v>
      </x:c>
      <x:c r="B11" s="14" t="str">
        <x:v>宝安店</x:v>
      </x:c>
      <x:c r="C11" s="14" t="str">
        <x:v>饮品</x:v>
      </x:c>
      <x:c r="D11" s="14" t="str">
        <x:v>茉莉轻乳茶</x:v>
      </x:c>
      <x:c r="E11" s="14" t="str">
        <x:v>SO2026060007</x:v>
      </x:c>
      <x:c r="F11" s="16" t="n">
        <x:v>3</x:v>
      </x:c>
      <x:c r="G11" s="17" t="n">
        <x:v>24</x:v>
      </x:c>
      <x:c r="H11" s="17" t="n">
        <x:f>F11*G11</x:f>
        <x:v>72</x:v>
      </x:c>
      <x:c r="I11" s="17" t="n">
        <x:v>0</x:v>
      </x:c>
      <x:c r="J11" s="17" t="n">
        <x:f>H11-I11</x:f>
        <x:v>72</x:v>
      </x:c>
    </x:row>
    <x:row r="12">
      <x:c r="A12" s="15" t="n">
        <x:v>46181</x:v>
      </x:c>
      <x:c r="B12" s="14" t="str">
        <x:v>龙岗店</x:v>
      </x:c>
      <x:c r="C12" s="14" t="str">
        <x:v>甜品</x:v>
      </x:c>
      <x:c r="D12" s="14" t="str">
        <x:v>抹茶千层</x:v>
      </x:c>
      <x:c r="E12" s="14" t="str">
        <x:v>SO2026060008</x:v>
      </x:c>
      <x:c r="F12" s="16" t="n">
        <x:v>4</x:v>
      </x:c>
      <x:c r="G12" s="17" t="n">
        <x:v>36</x:v>
      </x:c>
      <x:c r="H12" s="17" t="n">
        <x:f>F12*G12</x:f>
        <x:v>144</x:v>
      </x:c>
      <x:c r="I12" s="17" t="n">
        <x:v>0</x:v>
      </x:c>
      <x:c r="J12" s="17" t="n">
        <x:f>H12-I12</x:f>
        <x:v>144</x:v>
      </x:c>
    </x:row>
    <x:row r="13">
      <x:c r="A13" s="15" t="n">
        <x:v>46182</x:v>
      </x:c>
      <x:c r="B13" s="14" t="str">
        <x:v>南山店</x:v>
      </x:c>
      <x:c r="C13" s="14" t="str">
        <x:v>轻食</x:v>
      </x:c>
      <x:c r="D13" s="14" t="str">
        <x:v>火腿芝士三明治</x:v>
      </x:c>
      <x:c r="E13" s="14" t="str">
        <x:v>SO2026060009</x:v>
      </x:c>
      <x:c r="F13" s="16" t="n">
        <x:v>1</x:v>
      </x:c>
      <x:c r="G13" s="17" t="n">
        <x:v>26</x:v>
      </x:c>
      <x:c r="H13" s="17" t="n">
        <x:f>F13*G13</x:f>
        <x:v>26</x:v>
      </x:c>
      <x:c r="I13" s="17" t="n">
        <x:v>0</x:v>
      </x:c>
      <x:c r="J13" s="17" t="n">
        <x:f>H13-I13</x:f>
        <x:v>26</x:v>
      </x:c>
    </x:row>
    <x:row r="14">
      <x:c r="A14" s="15" t="n">
        <x:v>46183</x:v>
      </x:c>
      <x:c r="B14" s="14" t="str">
        <x:v>福田店</x:v>
      </x:c>
      <x:c r="C14" s="14" t="str">
        <x:v>饮品</x:v>
      </x:c>
      <x:c r="D14" s="14" t="str">
        <x:v>冰美式</x:v>
      </x:c>
      <x:c r="E14" s="14" t="str">
        <x:v>SO2026060010</x:v>
      </x:c>
      <x:c r="F14" s="16" t="n">
        <x:v>2</x:v>
      </x:c>
      <x:c r="G14" s="17" t="n">
        <x:v>22</x:v>
      </x:c>
      <x:c r="H14" s="17" t="n">
        <x:f>F14*G14</x:f>
        <x:v>44</x:v>
      </x:c>
      <x:c r="I14" s="17" t="n">
        <x:v>0</x:v>
      </x:c>
      <x:c r="J14" s="17" t="n">
        <x:f>H14-I14</x:f>
        <x:v>44</x:v>
      </x:c>
    </x:row>
    <x:row r="15">
      <x:c r="A15" s="15" t="n">
        <x:v>46184</x:v>
      </x:c>
      <x:c r="B15" s="14" t="str">
        <x:v>宝安店</x:v>
      </x:c>
      <x:c r="C15" s="14" t="str">
        <x:v>甜品</x:v>
      </x:c>
      <x:c r="D15" s="14" t="str">
        <x:v>提拉米苏</x:v>
      </x:c>
      <x:c r="E15" s="14" t="str">
        <x:v>SO2026060011</x:v>
      </x:c>
      <x:c r="F15" s="16" t="n">
        <x:v>3</x:v>
      </x:c>
      <x:c r="G15" s="17" t="n">
        <x:v>32</x:v>
      </x:c>
      <x:c r="H15" s="17" t="n">
        <x:f>F15*G15</x:f>
        <x:v>96</x:v>
      </x:c>
      <x:c r="I15" s="17" t="n">
        <x:v>0</x:v>
      </x:c>
      <x:c r="J15" s="17" t="n">
        <x:f>H15-I15</x:f>
        <x:v>96</x:v>
      </x:c>
    </x:row>
    <x:row r="16">
      <x:c r="A16" s="15" t="n">
        <x:v>46185</x:v>
      </x:c>
      <x:c r="B16" s="14" t="str">
        <x:v>龙岗店</x:v>
      </x:c>
      <x:c r="C16" s="14" t="str">
        <x:v>轻食</x:v>
      </x:c>
      <x:c r="D16" s="14" t="str">
        <x:v>鸡胸肉沙拉</x:v>
      </x:c>
      <x:c r="E16" s="14" t="str">
        <x:v>SO2026060012</x:v>
      </x:c>
      <x:c r="F16" s="16" t="n">
        <x:v>4</x:v>
      </x:c>
      <x:c r="G16" s="17" t="n">
        <x:v>38</x:v>
      </x:c>
      <x:c r="H16" s="17" t="n">
        <x:f>F16*G16</x:f>
        <x:v>152</x:v>
      </x:c>
      <x:c r="I16" s="17" t="n">
        <x:v>38</x:v>
      </x:c>
      <x:c r="J16" s="17" t="n">
        <x:f>H16-I16</x:f>
        <x:v>114</x:v>
      </x:c>
    </x:row>
    <x:row r="17">
      <x:c r="A17" s="15" t="n">
        <x:v>46186</x:v>
      </x:c>
      <x:c r="B17" s="14" t="str">
        <x:v>南山店</x:v>
      </x:c>
      <x:c r="C17" s="14" t="str">
        <x:v>饮品</x:v>
      </x:c>
      <x:c r="D17" s="14" t="str">
        <x:v>生椰拿铁</x:v>
      </x:c>
      <x:c r="E17" s="14" t="str">
        <x:v>SO2026060013</x:v>
      </x:c>
      <x:c r="F17" s="16" t="n">
        <x:v>1</x:v>
      </x:c>
      <x:c r="G17" s="17" t="n">
        <x:v>28</x:v>
      </x:c>
      <x:c r="H17" s="17" t="n">
        <x:f>F17*G17</x:f>
        <x:v>28</x:v>
      </x:c>
      <x:c r="I17" s="17" t="n">
        <x:v>0</x:v>
      </x:c>
      <x:c r="J17" s="17" t="n">
        <x:f>H17-I17</x:f>
        <x:v>28</x:v>
      </x:c>
    </x:row>
    <x:row r="18">
      <x:c r="A18" s="15" t="n">
        <x:v>46187</x:v>
      </x:c>
      <x:c r="B18" s="14" t="str">
        <x:v>福田店</x:v>
      </x:c>
      <x:c r="C18" s="14" t="str">
        <x:v>甜品</x:v>
      </x:c>
      <x:c r="D18" s="14" t="str">
        <x:v>巴斯克蛋糕</x:v>
      </x:c>
      <x:c r="E18" s="14" t="str">
        <x:v>SO2026060014</x:v>
      </x:c>
      <x:c r="F18" s="16" t="n">
        <x:v>2</x:v>
      </x:c>
      <x:c r="G18" s="17" t="n">
        <x:v>30</x:v>
      </x:c>
      <x:c r="H18" s="17" t="n">
        <x:f>F18*G18</x:f>
        <x:v>60</x:v>
      </x:c>
      <x:c r="I18" s="17" t="n">
        <x:v>0</x:v>
      </x:c>
      <x:c r="J18" s="17" t="n">
        <x:f>H18-I18</x:f>
        <x:v>60</x:v>
      </x:c>
    </x:row>
    <x:row r="19">
      <x:c r="A19" s="15" t="n">
        <x:v>46188</x:v>
      </x:c>
      <x:c r="B19" s="14" t="str">
        <x:v>宝安店</x:v>
      </x:c>
      <x:c r="C19" s="14" t="str">
        <x:v>轻食</x:v>
      </x:c>
      <x:c r="D19" s="14" t="str">
        <x:v>牛油果贝果</x:v>
      </x:c>
      <x:c r="E19" s="14" t="str">
        <x:v>SO2026060015</x:v>
      </x:c>
      <x:c r="F19" s="16" t="n">
        <x:v>3</x:v>
      </x:c>
      <x:c r="G19" s="17" t="n">
        <x:v>34</x:v>
      </x:c>
      <x:c r="H19" s="17" t="n">
        <x:f>F19*G19</x:f>
        <x:v>102</x:v>
      </x:c>
      <x:c r="I19" s="17" t="n">
        <x:v>0</x:v>
      </x:c>
      <x:c r="J19" s="17" t="n">
        <x:f>H19-I19</x:f>
        <x:v>102</x:v>
      </x:c>
    </x:row>
    <x:row r="20">
      <x:c r="A20" s="15" t="n">
        <x:v>46189</x:v>
      </x:c>
      <x:c r="B20" s="14" t="str">
        <x:v>龙岗店</x:v>
      </x:c>
      <x:c r="C20" s="14" t="str">
        <x:v>饮品</x:v>
      </x:c>
      <x:c r="D20" s="14" t="str">
        <x:v>茉莉轻乳茶</x:v>
      </x:c>
      <x:c r="E20" s="14" t="str">
        <x:v>SO2026060016</x:v>
      </x:c>
      <x:c r="F20" s="16" t="n">
        <x:v>4</x:v>
      </x:c>
      <x:c r="G20" s="17" t="n">
        <x:v>24</x:v>
      </x:c>
      <x:c r="H20" s="17" t="n">
        <x:f>F20*G20</x:f>
        <x:v>96</x:v>
      </x:c>
      <x:c r="I20" s="17" t="n">
        <x:v>0</x:v>
      </x:c>
      <x:c r="J20" s="17" t="n">
        <x:f>H20-I20</x:f>
        <x:v>96</x:v>
      </x:c>
    </x:row>
    <x:row r="21">
      <x:c r="A21" s="15" t="n">
        <x:v>46190</x:v>
      </x:c>
      <x:c r="B21" s="14" t="str">
        <x:v>南山店</x:v>
      </x:c>
      <x:c r="C21" s="14" t="str">
        <x:v>甜品</x:v>
      </x:c>
      <x:c r="D21" s="14" t="str">
        <x:v>抹茶千层</x:v>
      </x:c>
      <x:c r="E21" s="14" t="str">
        <x:v>SO2026060017</x:v>
      </x:c>
      <x:c r="F21" s="16" t="n">
        <x:v>1</x:v>
      </x:c>
      <x:c r="G21" s="17" t="n">
        <x:v>36</x:v>
      </x:c>
      <x:c r="H21" s="17" t="n">
        <x:f>F21*G21</x:f>
        <x:v>36</x:v>
      </x:c>
      <x:c r="I21" s="17" t="n">
        <x:v>0</x:v>
      </x:c>
      <x:c r="J21" s="17" t="n">
        <x:f>H21-I21</x:f>
        <x:v>36</x:v>
      </x:c>
    </x:row>
    <x:row r="22">
      <x:c r="A22" s="15" t="n">
        <x:v>46191</x:v>
      </x:c>
      <x:c r="B22" s="14" t="str">
        <x:v>福田店</x:v>
      </x:c>
      <x:c r="C22" s="14" t="str">
        <x:v>轻食</x:v>
      </x:c>
      <x:c r="D22" s="14" t="str">
        <x:v>火腿芝士三明治</x:v>
      </x:c>
      <x:c r="E22" s="14" t="str">
        <x:v>SO2026060018</x:v>
      </x:c>
      <x:c r="F22" s="16" t="n">
        <x:v>2</x:v>
      </x:c>
      <x:c r="G22" s="17" t="n">
        <x:v>26</x:v>
      </x:c>
      <x:c r="H22" s="17" t="n">
        <x:f>F22*G22</x:f>
        <x:v>52</x:v>
      </x:c>
      <x:c r="I22" s="17" t="n">
        <x:v>52</x:v>
      </x:c>
      <x:c r="J22" s="17" t="n">
        <x:f>H22-I22</x:f>
        <x:v>0</x:v>
      </x:c>
    </x:row>
    <x:row r="23">
      <x:c r="A23" s="15" t="n">
        <x:v>46174</x:v>
      </x:c>
      <x:c r="B23" s="14" t="str">
        <x:v>宝安店</x:v>
      </x:c>
      <x:c r="C23" s="14" t="str">
        <x:v>饮品</x:v>
      </x:c>
      <x:c r="D23" s="14" t="str">
        <x:v>冰美式</x:v>
      </x:c>
      <x:c r="E23" s="14" t="str">
        <x:v>SO2026060019</x:v>
      </x:c>
      <x:c r="F23" s="16" t="n">
        <x:v>3</x:v>
      </x:c>
      <x:c r="G23" s="17" t="n">
        <x:v>22</x:v>
      </x:c>
      <x:c r="H23" s="17" t="n">
        <x:f>F23*G23</x:f>
        <x:v>66</x:v>
      </x:c>
      <x:c r="I23" s="17" t="n">
        <x:v>0</x:v>
      </x:c>
      <x:c r="J23" s="17" t="n">
        <x:f>H23-I23</x:f>
        <x:v>66</x:v>
      </x:c>
    </x:row>
    <x:row r="24">
      <x:c r="A24" s="15" t="n">
        <x:v>46175</x:v>
      </x:c>
      <x:c r="B24" s="14" t="str">
        <x:v>龙岗店</x:v>
      </x:c>
      <x:c r="C24" s="14" t="str">
        <x:v>甜品</x:v>
      </x:c>
      <x:c r="D24" s="14" t="str">
        <x:v>提拉米苏</x:v>
      </x:c>
      <x:c r="E24" s="14" t="str">
        <x:v>SO2026060020</x:v>
      </x:c>
      <x:c r="F24" s="16" t="n">
        <x:v>4</x:v>
      </x:c>
      <x:c r="G24" s="17" t="n">
        <x:v>32</x:v>
      </x:c>
      <x:c r="H24" s="17" t="n">
        <x:f>F24*G24</x:f>
        <x:v>128</x:v>
      </x:c>
      <x:c r="I24" s="17" t="n">
        <x:v>0</x:v>
      </x:c>
      <x:c r="J24" s="17" t="n">
        <x:f>H24-I24</x:f>
        <x:v>128</x:v>
      </x:c>
    </x:row>
    <x:row r="25">
      <x:c r="A25" s="15" t="n">
        <x:v>46176</x:v>
      </x:c>
      <x:c r="B25" s="14" t="str">
        <x:v>南山店</x:v>
      </x:c>
      <x:c r="C25" s="14" t="str">
        <x:v>轻食</x:v>
      </x:c>
      <x:c r="D25" s="14" t="str">
        <x:v>鸡胸肉沙拉</x:v>
      </x:c>
      <x:c r="E25" s="14" t="str">
        <x:v>SO2026060021</x:v>
      </x:c>
      <x:c r="F25" s="16" t="n">
        <x:v>1</x:v>
      </x:c>
      <x:c r="G25" s="17" t="n">
        <x:v>38</x:v>
      </x:c>
      <x:c r="H25" s="17" t="n">
        <x:f>F25*G25</x:f>
        <x:v>38</x:v>
      </x:c>
      <x:c r="I25" s="17" t="n">
        <x:v>0</x:v>
      </x:c>
      <x:c r="J25" s="17" t="n">
        <x:f>H25-I25</x:f>
        <x:v>38</x:v>
      </x:c>
    </x:row>
    <x:row r="26">
      <x:c r="A26" s="15" t="n">
        <x:v>46177</x:v>
      </x:c>
      <x:c r="B26" s="14" t="str">
        <x:v>福田店</x:v>
      </x:c>
      <x:c r="C26" s="14" t="str">
        <x:v>饮品</x:v>
      </x:c>
      <x:c r="D26" s="14" t="str">
        <x:v>生椰拿铁</x:v>
      </x:c>
      <x:c r="E26" s="14" t="str">
        <x:v>SO2026060022</x:v>
      </x:c>
      <x:c r="F26" s="16" t="n">
        <x:v>2</x:v>
      </x:c>
      <x:c r="G26" s="17" t="n">
        <x:v>28</x:v>
      </x:c>
      <x:c r="H26" s="17" t="n">
        <x:f>F26*G26</x:f>
        <x:v>56</x:v>
      </x:c>
      <x:c r="I26" s="17" t="n">
        <x:v>0</x:v>
      </x:c>
      <x:c r="J26" s="17" t="n">
        <x:f>H26-I26</x:f>
        <x:v>56</x:v>
      </x:c>
    </x:row>
    <x:row r="27">
      <x:c r="A27" s="15" t="n">
        <x:v>46178</x:v>
      </x:c>
      <x:c r="B27" s="14" t="str">
        <x:v>宝安店</x:v>
      </x:c>
      <x:c r="C27" s="14" t="str">
        <x:v>甜品</x:v>
      </x:c>
      <x:c r="D27" s="14" t="str">
        <x:v>巴斯克蛋糕</x:v>
      </x:c>
      <x:c r="E27" s="14" t="str">
        <x:v>SO2026060023</x:v>
      </x:c>
      <x:c r="F27" s="16" t="n">
        <x:v>3</x:v>
      </x:c>
      <x:c r="G27" s="17" t="n">
        <x:v>30</x:v>
      </x:c>
      <x:c r="H27" s="17" t="n">
        <x:f>F27*G27</x:f>
        <x:v>90</x:v>
      </x:c>
      <x:c r="I27" s="17" t="n">
        <x:v>30</x:v>
      </x:c>
      <x:c r="J27" s="17" t="n">
        <x:f>H27-I27</x:f>
        <x:v>60</x:v>
      </x:c>
    </x:row>
    <x:row r="28">
      <x:c r="A28" s="15" t="n">
        <x:v>46179</x:v>
      </x:c>
      <x:c r="B28" s="14" t="str">
        <x:v>龙岗店</x:v>
      </x:c>
      <x:c r="C28" s="14" t="str">
        <x:v>轻食</x:v>
      </x:c>
      <x:c r="D28" s="14" t="str">
        <x:v>牛油果贝果</x:v>
      </x:c>
      <x:c r="E28" s="14" t="str">
        <x:v>SO2026060024</x:v>
      </x:c>
      <x:c r="F28" s="16" t="n">
        <x:v>4</x:v>
      </x:c>
      <x:c r="G28" s="17" t="n">
        <x:v>34</x:v>
      </x:c>
      <x:c r="H28" s="17" t="n">
        <x:f>F28*G28</x:f>
        <x:v>136</x:v>
      </x:c>
      <x:c r="I28" s="17" t="n">
        <x:v>0</x:v>
      </x:c>
      <x:c r="J28" s="17" t="n">
        <x:f>H28-I28</x:f>
        <x:v>136</x:v>
      </x:c>
    </x:row>
    <x:row r="29">
      <x:c r="A29" s="15" t="n">
        <x:v>46180</x:v>
      </x:c>
      <x:c r="B29" s="14" t="str">
        <x:v>南山店</x:v>
      </x:c>
      <x:c r="C29" s="14" t="str">
        <x:v>饮品</x:v>
      </x:c>
      <x:c r="D29" s="14" t="str">
        <x:v>茉莉轻乳茶</x:v>
      </x:c>
      <x:c r="E29" s="14" t="str">
        <x:v>SO2026060025</x:v>
      </x:c>
      <x:c r="F29" s="16" t="n">
        <x:v>1</x:v>
      </x:c>
      <x:c r="G29" s="17" t="n">
        <x:v>24</x:v>
      </x:c>
      <x:c r="H29" s="17" t="n">
        <x:f>F29*G29</x:f>
        <x:v>24</x:v>
      </x:c>
      <x:c r="I29" s="17" t="n">
        <x:v>0</x:v>
      </x:c>
      <x:c r="J29" s="17" t="n">
        <x:f>H29-I29</x:f>
        <x:v>24</x:v>
      </x:c>
    </x:row>
    <x:row r="30">
      <x:c r="A30" s="15" t="n">
        <x:v>46181</x:v>
      </x:c>
      <x:c r="B30" s="14" t="str">
        <x:v>福田店</x:v>
      </x:c>
      <x:c r="C30" s="14" t="str">
        <x:v>甜品</x:v>
      </x:c>
      <x:c r="D30" s="14" t="str">
        <x:v>抹茶千层</x:v>
      </x:c>
      <x:c r="E30" s="14" t="str">
        <x:v>SO2026060026</x:v>
      </x:c>
      <x:c r="F30" s="16" t="n">
        <x:v>2</x:v>
      </x:c>
      <x:c r="G30" s="17" t="n">
        <x:v>36</x:v>
      </x:c>
      <x:c r="H30" s="17" t="n">
        <x:f>F30*G30</x:f>
        <x:v>72</x:v>
      </x:c>
      <x:c r="I30" s="17" t="n">
        <x:v>0</x:v>
      </x:c>
      <x:c r="J30" s="17" t="n">
        <x:f>H30-I30</x:f>
        <x:v>72</x:v>
      </x:c>
    </x:row>
    <x:row r="31">
      <x:c r="A31" s="15" t="n">
        <x:v>46182</x:v>
      </x:c>
      <x:c r="B31" s="14" t="str">
        <x:v>宝安店</x:v>
      </x:c>
      <x:c r="C31" s="14" t="str">
        <x:v>轻食</x:v>
      </x:c>
      <x:c r="D31" s="14" t="str">
        <x:v>火腿芝士三明治</x:v>
      </x:c>
      <x:c r="E31" s="14" t="str">
        <x:v>SO2026060027</x:v>
      </x:c>
      <x:c r="F31" s="16" t="n">
        <x:v>3</x:v>
      </x:c>
      <x:c r="G31" s="17" t="n">
        <x:v>26</x:v>
      </x:c>
      <x:c r="H31" s="17" t="n">
        <x:f>F31*G31</x:f>
        <x:v>78</x:v>
      </x:c>
      <x:c r="I31" s="17" t="n">
        <x:v>0</x:v>
      </x:c>
      <x:c r="J31" s="17" t="n">
        <x:f>H31-I31</x:f>
        <x:v>78</x:v>
      </x:c>
    </x:row>
    <x:row r="32">
      <x:c r="A32" s="15" t="n">
        <x:v>46183</x:v>
      </x:c>
      <x:c r="B32" s="14" t="str">
        <x:v>龙岗店</x:v>
      </x:c>
      <x:c r="C32" s="14" t="str">
        <x:v>饮品</x:v>
      </x:c>
      <x:c r="D32" s="14" t="str">
        <x:v>冰美式</x:v>
      </x:c>
      <x:c r="E32" s="14" t="str">
        <x:v>SO2026060028</x:v>
      </x:c>
      <x:c r="F32" s="16" t="n">
        <x:v>4</x:v>
      </x:c>
      <x:c r="G32" s="17" t="n">
        <x:v>22</x:v>
      </x:c>
      <x:c r="H32" s="17" t="n">
        <x:f>F32*G32</x:f>
        <x:v>88</x:v>
      </x:c>
      <x:c r="I32" s="17" t="n">
        <x:v>0</x:v>
      </x:c>
      <x:c r="J32" s="17" t="n">
        <x:f>H32-I32</x:f>
        <x:v>88</x:v>
      </x:c>
    </x:row>
    <x:row r="33">
      <x:c r="A33" s="15" t="n">
        <x:v>46184</x:v>
      </x:c>
      <x:c r="B33" s="14" t="str">
        <x:v>南山店</x:v>
      </x:c>
      <x:c r="C33" s="14" t="str">
        <x:v>甜品</x:v>
      </x:c>
      <x:c r="D33" s="14" t="str">
        <x:v>提拉米苏</x:v>
      </x:c>
      <x:c r="E33" s="14" t="str">
        <x:v>SO2026060029</x:v>
      </x:c>
      <x:c r="F33" s="16" t="n">
        <x:v>1</x:v>
      </x:c>
      <x:c r="G33" s="17" t="n">
        <x:v>32</x:v>
      </x:c>
      <x:c r="H33" s="17" t="n">
        <x:f>F33*G33</x:f>
        <x:v>32</x:v>
      </x:c>
      <x:c r="I33" s="17" t="n">
        <x:v>0</x:v>
      </x:c>
      <x:c r="J33" s="17" t="n">
        <x:f>H33-I33</x:f>
        <x:v>32</x:v>
      </x:c>
    </x:row>
    <x:row r="34">
      <x:c r="A34" s="15" t="n">
        <x:v>46185</x:v>
      </x:c>
      <x:c r="B34" s="14" t="str">
        <x:v>福田店</x:v>
      </x:c>
      <x:c r="C34" s="14" t="str">
        <x:v>轻食</x:v>
      </x:c>
      <x:c r="D34" s="14" t="str">
        <x:v>鸡胸肉沙拉</x:v>
      </x:c>
      <x:c r="E34" s="14" t="str">
        <x:v>SO2026060030</x:v>
      </x:c>
      <x:c r="F34" s="16" t="n">
        <x:v>2</x:v>
      </x:c>
      <x:c r="G34" s="17" t="n">
        <x:v>38</x:v>
      </x:c>
      <x:c r="H34" s="17" t="n">
        <x:f>F34*G34</x:f>
        <x:v>76</x:v>
      </x:c>
      <x:c r="I34" s="17" t="n">
        <x:v>0</x:v>
      </x:c>
      <x:c r="J34" s="17" t="n">
        <x:f>H34-I34</x:f>
        <x:v>76</x:v>
      </x:c>
    </x:row>
    <x:row r="35">
      <x:c r="A35" s="15" t="n">
        <x:v>46186</x:v>
      </x:c>
      <x:c r="B35" s="14" t="str">
        <x:v>宝安店</x:v>
      </x:c>
      <x:c r="C35" s="14" t="str">
        <x:v>饮品</x:v>
      </x:c>
      <x:c r="D35" s="14" t="str">
        <x:v>生椰拿铁</x:v>
      </x:c>
      <x:c r="E35" s="14" t="str">
        <x:v>SO2026060031</x:v>
      </x:c>
      <x:c r="F35" s="16" t="n">
        <x:v>3</x:v>
      </x:c>
      <x:c r="G35" s="17" t="n">
        <x:v>28</x:v>
      </x:c>
      <x:c r="H35" s="17" t="n">
        <x:f>F35*G35</x:f>
        <x:v>84</x:v>
      </x:c>
      <x:c r="I35" s="17" t="n">
        <x:v>0</x:v>
      </x:c>
      <x:c r="J35" s="17" t="n">
        <x:f>H35-I35</x:f>
        <x:v>84</x:v>
      </x:c>
    </x:row>
    <x:row r="36">
      <x:c r="A36" s="15" t="n">
        <x:v>46187</x:v>
      </x:c>
      <x:c r="B36" s="14" t="str">
        <x:v>龙岗店</x:v>
      </x:c>
      <x:c r="C36" s="14" t="str">
        <x:v>甜品</x:v>
      </x:c>
      <x:c r="D36" s="14" t="str">
        <x:v>巴斯克蛋糕</x:v>
      </x:c>
      <x:c r="E36" s="14" t="str">
        <x:v>SO2026060032</x:v>
      </x:c>
      <x:c r="F36" s="16" t="n">
        <x:v>4</x:v>
      </x:c>
      <x:c r="G36" s="17" t="n">
        <x:v>30</x:v>
      </x:c>
      <x:c r="H36" s="17" t="n">
        <x:f>F36*G36</x:f>
        <x:v>120</x:v>
      </x:c>
      <x:c r="I36" s="17" t="n">
        <x:v>0</x:v>
      </x:c>
      <x:c r="J36" s="17" t="n">
        <x:f>H36-I36</x:f>
        <x:v>120</x:v>
      </x:c>
    </x:row>
    <x:row r="37">
      <x:c r="A37" s="15" t="n">
        <x:v>46188</x:v>
      </x:c>
      <x:c r="B37" s="14" t="str">
        <x:v>南山店</x:v>
      </x:c>
      <x:c r="C37" s="14" t="str">
        <x:v>轻食</x:v>
      </x:c>
      <x:c r="D37" s="14" t="str">
        <x:v>牛油果贝果</x:v>
      </x:c>
      <x:c r="E37" s="14" t="str">
        <x:v>SO2026060033</x:v>
      </x:c>
      <x:c r="F37" s="16" t="n">
        <x:v>1</x:v>
      </x:c>
      <x:c r="G37" s="17" t="n">
        <x:v>34</x:v>
      </x:c>
      <x:c r="H37" s="17" t="n">
        <x:f>F37*G37</x:f>
        <x:v>34</x:v>
      </x:c>
      <x:c r="I37" s="17" t="n">
        <x:v>0</x:v>
      </x:c>
      <x:c r="J37" s="17" t="n">
        <x:f>H37-I37</x:f>
        <x:v>34</x:v>
      </x:c>
    </x:row>
    <x:row r="38">
      <x:c r="A38" s="15" t="n">
        <x:v>46189</x:v>
      </x:c>
      <x:c r="B38" s="14" t="str">
        <x:v>福田店</x:v>
      </x:c>
      <x:c r="C38" s="14" t="str">
        <x:v>饮品</x:v>
      </x:c>
      <x:c r="D38" s="14" t="str">
        <x:v>茉莉轻乳茶</x:v>
      </x:c>
      <x:c r="E38" s="14" t="str">
        <x:v>SO2026060034</x:v>
      </x:c>
      <x:c r="F38" s="16" t="n">
        <x:v>2</x:v>
      </x:c>
      <x:c r="G38" s="17" t="n">
        <x:v>24</x:v>
      </x:c>
      <x:c r="H38" s="17" t="n">
        <x:f>F38*G38</x:f>
        <x:v>48</x:v>
      </x:c>
      <x:c r="I38" s="17" t="n">
        <x:v>24</x:v>
      </x:c>
      <x:c r="J38" s="17" t="n">
        <x:f>H38-I38</x:f>
        <x:v>24</x:v>
      </x:c>
    </x:row>
    <x:row r="39">
      <x:c r="A39" s="15" t="n">
        <x:v>46190</x:v>
      </x:c>
      <x:c r="B39" s="14" t="str">
        <x:v>宝安店</x:v>
      </x:c>
      <x:c r="C39" s="14" t="str">
        <x:v>甜品</x:v>
      </x:c>
      <x:c r="D39" s="14" t="str">
        <x:v>抹茶千层</x:v>
      </x:c>
      <x:c r="E39" s="14" t="str">
        <x:v>SO2026060035</x:v>
      </x:c>
      <x:c r="F39" s="16" t="n">
        <x:v>3</x:v>
      </x:c>
      <x:c r="G39" s="17" t="n">
        <x:v>36</x:v>
      </x:c>
      <x:c r="H39" s="17" t="n">
        <x:f>F39*G39</x:f>
        <x:v>108</x:v>
      </x:c>
      <x:c r="I39" s="17" t="n">
        <x:v>72</x:v>
      </x:c>
      <x:c r="J39" s="17" t="n">
        <x:f>H39-I39</x:f>
        <x:v>36</x:v>
      </x:c>
    </x:row>
    <x:row r="40">
      <x:c r="A40" s="15" t="n">
        <x:v>46191</x:v>
      </x:c>
      <x:c r="B40" s="14" t="str">
        <x:v>龙岗店</x:v>
      </x:c>
      <x:c r="C40" s="14" t="str">
        <x:v>轻食</x:v>
      </x:c>
      <x:c r="D40" s="14" t="str">
        <x:v>火腿芝士三明治</x:v>
      </x:c>
      <x:c r="E40" s="14" t="str">
        <x:v>SO2026060036</x:v>
      </x:c>
      <x:c r="F40" s="16" t="n">
        <x:v>4</x:v>
      </x:c>
      <x:c r="G40" s="17" t="n">
        <x:v>26</x:v>
      </x:c>
      <x:c r="H40" s="17" t="n">
        <x:f>F40*G40</x:f>
        <x:v>104</x:v>
      </x:c>
      <x:c r="I40" s="17" t="n">
        <x:v>0</x:v>
      </x:c>
      <x:c r="J40" s="17" t="n">
        <x:f>H40-I40</x:f>
        <x:v>104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a0feca10a864b41"/>
  </x:tableParts>
</x:worksheet>
</file>